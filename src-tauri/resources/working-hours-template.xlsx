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82523B16-08D0-4C07-9617-0235D01AD98E}" xr6:coauthVersionLast="47" xr6:coauthVersionMax="47" xr10:uidLastSave="{00000000-0000-0000-0000-000000000000}"/>
  <bookViews>
    <workbookView xWindow="-120" yWindow="-120" windowWidth="20730" windowHeight="11160" tabRatio="684" xr2:uid="{00000000-000D-0000-FFFF-FFFF00000000}"/>
  </bookViews>
  <sheets>
    <sheet name="Timesheet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3" i="1" l="1"/>
  <c r="C33" i="1" s="1"/>
  <c r="B32" i="1"/>
  <c r="G32" i="1" s="1"/>
  <c r="B31" i="1"/>
  <c r="G31" i="1" s="1"/>
  <c r="B30" i="1"/>
  <c r="G30" i="1" s="1"/>
  <c r="B29" i="1"/>
  <c r="C29" i="1" s="1"/>
  <c r="B28" i="1"/>
  <c r="C28" i="1" s="1"/>
  <c r="B27" i="1"/>
  <c r="G27" i="1" s="1"/>
  <c r="B26" i="1"/>
  <c r="G26" i="1" s="1"/>
  <c r="B25" i="1"/>
  <c r="C25" i="1" s="1"/>
  <c r="B24" i="1"/>
  <c r="C24" i="1" s="1"/>
  <c r="B23" i="1"/>
  <c r="G23" i="1" s="1"/>
  <c r="B22" i="1"/>
  <c r="G22" i="1" s="1"/>
  <c r="B21" i="1"/>
  <c r="C21" i="1" s="1"/>
  <c r="B20" i="1"/>
  <c r="C20" i="1" s="1"/>
  <c r="B19" i="1"/>
  <c r="G19" i="1" s="1"/>
  <c r="B18" i="1"/>
  <c r="G18" i="1" s="1"/>
  <c r="B17" i="1"/>
  <c r="C17" i="1" s="1"/>
  <c r="B16" i="1"/>
  <c r="C16" i="1" s="1"/>
  <c r="B15" i="1"/>
  <c r="G15" i="1" s="1"/>
  <c r="B14" i="1"/>
  <c r="G14" i="1" s="1"/>
  <c r="B13" i="1"/>
  <c r="C13" i="1" s="1"/>
  <c r="B12" i="1"/>
  <c r="C12" i="1" s="1"/>
  <c r="B11" i="1"/>
  <c r="G11" i="1" s="1"/>
  <c r="B10" i="1"/>
  <c r="G10" i="1" s="1"/>
  <c r="B9" i="1"/>
  <c r="C9" i="1" s="1"/>
  <c r="B8" i="1"/>
  <c r="C8" i="1" s="1"/>
  <c r="B7" i="1"/>
  <c r="G7" i="1" s="1"/>
  <c r="B6" i="1"/>
  <c r="C6" i="1" s="1"/>
  <c r="B5" i="1"/>
  <c r="G5" i="1" s="1"/>
  <c r="B4" i="1"/>
  <c r="G4" i="1" s="1"/>
  <c r="B3" i="1"/>
  <c r="C3" i="1" s="1"/>
  <c r="C4" i="1" l="1"/>
  <c r="G33" i="1"/>
  <c r="G9" i="1"/>
  <c r="G17" i="1"/>
  <c r="G25" i="1"/>
  <c r="G12" i="1"/>
  <c r="G20" i="1"/>
  <c r="G28" i="1"/>
  <c r="G13" i="1"/>
  <c r="G21" i="1"/>
  <c r="G29" i="1"/>
  <c r="G8" i="1"/>
  <c r="G16" i="1"/>
  <c r="G24" i="1"/>
  <c r="G6" i="1"/>
  <c r="C10" i="1"/>
  <c r="C14" i="1"/>
  <c r="C18" i="1"/>
  <c r="C22" i="1"/>
  <c r="C26" i="1"/>
  <c r="C30" i="1"/>
  <c r="G3" i="1"/>
  <c r="C7" i="1"/>
  <c r="C11" i="1"/>
  <c r="C15" i="1"/>
  <c r="C19" i="1"/>
  <c r="C23" i="1"/>
  <c r="C27" i="1"/>
  <c r="C31" i="1"/>
  <c r="C32" i="1"/>
  <c r="C5" i="1"/>
  <c r="J8" i="1" l="1"/>
</calcChain>
</file>

<file path=xl/sharedStrings.xml><?xml version="1.0" encoding="utf-8"?>
<sst xmlns="http://schemas.openxmlformats.org/spreadsheetml/2006/main" count="58" uniqueCount="25">
  <si>
    <t>Month</t>
  </si>
  <si>
    <t>January</t>
  </si>
  <si>
    <t>Date</t>
  </si>
  <si>
    <t>Day</t>
  </si>
  <si>
    <t>Main Task</t>
  </si>
  <si>
    <t>Start Time</t>
  </si>
  <si>
    <t>End Time</t>
  </si>
  <si>
    <t>Hours Worked</t>
  </si>
  <si>
    <t>Year</t>
  </si>
  <si>
    <t>February</t>
  </si>
  <si>
    <t>-</t>
  </si>
  <si>
    <t>Employee</t>
  </si>
  <si>
    <t>March</t>
  </si>
  <si>
    <t>Project Title</t>
  </si>
  <si>
    <t>April</t>
  </si>
  <si>
    <t>Hourly Rate</t>
  </si>
  <si>
    <t>May</t>
  </si>
  <si>
    <t>Total Salary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</si>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</sst>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yyyy\-mm\-dd;@"/>
    <numFmt numFmtId="165" formatCode="hh:mm;@"/>
    <numFmt numFmtId="166" formatCode="0.0"/>
    <numFmt numFmtId="167" formatCode="\$#,##0"/>
    <numFmt numFmtId="168" formatCode="\$#,##0.0"/>
  </numFmts>
  <fonts count="5" x14ac:knownFonts="1">
    <font>
      <sz val="11"/>
      <color theme="1"/>
      <name val="Calibri"/>
      <family val="2"/>
      <charset val="1"/>
    </font>
    <font>
      <b/>
      <sz val="13"/>
      <color theme="1"/>
      <name val="Arial"/>
      <family val="2"/>
      <charset val="1"/>
    </font>
    <font>
      <b/>
      <sz val="14"/>
      <color theme="1"/>
      <name val="Arial"/>
      <family val="2"/>
      <charset val="1"/>
    </font>
    <font>
      <sz val="14"/>
      <color theme="1"/>
      <name val="Calibri"/>
      <family val="2"/>
      <charset val="1"/>
    </font>
    <font>
      <b/>
      <sz val="13"/>
      <color rgb="FFC00000"/>
      <name val="Arial"/>
      <family val="2"/>
      <charset val="1"/>
    </font>
  </fonts>
  <fills count="14">
    <fill>
      <patternFill patternType="none"/>
    </fill>
    <fill>
      <patternFill patternType="gray125"/>
    </fill>
    <fill>
      <patternFill patternType="solid">
        <fgColor rgb="FFFFC000"/>
        <bgColor rgb="FFFF9900"/>
      </patternFill>
    </fill>
    <fill>
      <patternFill patternType="solid">
        <fgColor theme="0" tint="-4.9989318521683403E-2"/>
        <bgColor rgb="FFFFFFCC"/>
      </patternFill>
    </fill>
    <fill>
      <patternFill patternType="solid">
        <fgColor rgb="FFD9D9D9"/>
        <bgColor rgb="FF008080"/>
      </patternFill>
    </fill>
    <fill>
      <patternFill patternType="solid">
        <fgColor rgb="FFD9D9D9"/>
        <bgColor rgb="FF33CCCC"/>
      </patternFill>
    </fill>
    <fill>
      <patternFill patternType="solid">
        <fgColor rgb="FFF2F2F2"/>
        <bgColor rgb="FFBDD7EE"/>
      </patternFill>
    </fill>
    <fill>
      <patternFill patternType="solid">
        <fgColor rgb="FFF2F2F2"/>
        <bgColor rgb="FFC5E0B4"/>
      </patternFill>
    </fill>
    <fill>
      <patternFill patternType="solid">
        <fgColor rgb="FF6DB6FF"/>
        <bgColor rgb="FF008080"/>
      </patternFill>
    </fill>
    <fill>
      <patternFill patternType="solid">
        <fgColor rgb="FF6DB6FF"/>
        <bgColor rgb="FF33CCCC"/>
      </patternFill>
    </fill>
    <fill>
      <patternFill patternType="solid">
        <fgColor rgb="FFD0E7FF"/>
        <bgColor rgb="FFBDD7EE"/>
      </patternFill>
    </fill>
    <fill>
      <patternFill patternType="solid">
        <fgColor rgb="FFD0E7FF"/>
        <bgColor rgb="FFC5E0B4"/>
      </patternFill>
    </fill>
    <fill>
      <patternFill patternType="solid">
        <fgColor rgb="FF6DDDB5"/>
        <bgColor rgb="FF008080"/>
      </patternFill>
    </fill>
    <fill>
      <patternFill patternType="solid">
        <fgColor rgb="FFD4F5E9"/>
        <bgColor rgb="FFBDD7EE"/>
      </patternFill>
    </fill>
  </fills>
  <borders count="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64" fontId="3" fillId="3" borderId="2" xfId="0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165" fontId="3" fillId="3" borderId="2" xfId="0" applyNumberFormat="1" applyFont="1" applyFill="1" applyBorder="1" applyAlignment="1">
      <alignment horizontal="center" vertical="center"/>
    </xf>
    <xf numFmtId="166" fontId="3" fillId="3" borderId="3" xfId="0" applyNumberFormat="1" applyFont="1" applyFill="1" applyBorder="1" applyAlignment="1">
      <alignment horizontal="center" vertical="center"/>
    </xf>
    <xf numFmtId="164" fontId="3" fillId="3" borderId="4" xfId="0" applyNumberFormat="1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165" fontId="3" fillId="3" borderId="5" xfId="0" applyNumberFormat="1" applyFont="1" applyFill="1" applyBorder="1" applyAlignment="1">
      <alignment horizontal="center" vertical="center"/>
    </xf>
    <xf numFmtId="166" fontId="3" fillId="3" borderId="5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1" fontId="1" fillId="6" borderId="1" xfId="0" applyNumberFormat="1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167" fontId="1" fillId="13" borderId="1" xfId="0" applyNumberFormat="1" applyFont="1" applyFill="1" applyBorder="1" applyAlignment="1">
      <alignment horizontal="center" vertical="center"/>
    </xf>
    <xf numFmtId="168" fontId="4" fillId="13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2F2F2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5E0B4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D4F5E9"/>
      <color rgb="FF6DDDB5"/>
      <color rgb="FFD0E7FF"/>
      <color rgb="FF6DB6FF"/>
      <color rgb="FFF2F2F2"/>
      <color rgb="FFD9D9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33"/>
  <sheetViews>
    <sheetView showGridLines="0" tabSelected="1" zoomScale="85" zoomScaleNormal="85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H9" sqref="H9"/>
    </sheetView>
  </sheetViews>
  <sheetFormatPr defaultColWidth="8.7109375" defaultRowHeight="14.25" customHeight="1" x14ac:dyDescent="0.25"/>
  <cols>
    <col min="2" max="3" width="16.85546875" customWidth="1"/>
    <col min="4" max="4" width="40.140625" customWidth="1"/>
    <col min="5" max="5" width="15.85546875" customWidth="1"/>
    <col min="6" max="6" width="15.7109375" customWidth="1"/>
    <col min="7" max="7" width="22.140625" customWidth="1"/>
    <col min="9" max="9" width="21.28515625" customWidth="1"/>
    <col min="10" max="10" width="23.28515625" customWidth="1"/>
    <col min="12" max="12" width="13" hidden="1" customWidth="1"/>
  </cols>
  <sheetData>
    <row r="1" spans="2:12" ht="15" customHeight="1" thickBot="1" x14ac:dyDescent="0.3">
      <c r="L1" t="s">
        <v>1</v>
      </c>
    </row>
    <row r="2" spans="2:12" ht="36" customHeight="1" thickBot="1" x14ac:dyDescent="0.3"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L2" t="s">
        <v>9</v>
      </c>
    </row>
    <row r="3" spans="2:12" ht="24.75" customHeight="1" thickBot="1" x14ac:dyDescent="0.3">
      <c r="B3" s="2">
        <f>IF(1&lt;=DAY(EOMONTH(DATE($J$3,MATCH($J$4,$L$1:$L$12,0),1),0)),DATE($J$3,MATCH($J$4,$L$1:$L$12,0),1),"")</f>
        <v>46023</v>
      </c>
      <c r="C3" s="3" t="str">
        <f t="shared" ref="C3:C33" si="0">IF(B3="","",TEXT(B3,"dddd"))</f>
        <v>Thursday</v>
      </c>
      <c r="D3" s="3" t="s">
        <v>10</v>
      </c>
      <c r="E3" s="4">
        <v>0</v>
      </c>
      <c r="F3" s="4">
        <v>0</v>
      </c>
      <c r="G3" s="5">
        <f t="shared" ref="G3:G33" si="1">IF(B3="","",(F3-E3)*24)</f>
        <v>0</v>
      </c>
      <c r="I3" s="11" t="s">
        <v>8</v>
      </c>
      <c r="J3" s="13">
        <v>2026</v>
      </c>
      <c r="L3" t="s">
        <v>12</v>
      </c>
    </row>
    <row r="4" spans="2:12" ht="24.75" customHeight="1" thickBot="1" x14ac:dyDescent="0.3">
      <c r="B4" s="2">
        <f>IF(2&lt;=DAY(EOMONTH(DATE($J$3,MATCH($J$4,$L$1:$L$12,0),1),0)),DATE($J$3,MATCH($J$4,$L$1:$L$12,0),2),"")</f>
        <v>46024</v>
      </c>
      <c r="C4" s="3" t="str">
        <f t="shared" si="0"/>
        <v>Friday</v>
      </c>
      <c r="D4" s="3" t="s">
        <v>10</v>
      </c>
      <c r="E4" s="4">
        <v>0</v>
      </c>
      <c r="F4" s="4">
        <v>0</v>
      </c>
      <c r="G4" s="5">
        <f t="shared" si="1"/>
        <v>0</v>
      </c>
      <c r="I4" s="12" t="s">
        <v>0</v>
      </c>
      <c r="J4" s="14" t="s">
        <v>1</v>
      </c>
      <c r="L4" t="s">
        <v>14</v>
      </c>
    </row>
    <row r="5" spans="2:12" ht="24.75" customHeight="1" thickBot="1" x14ac:dyDescent="0.3">
      <c r="B5" s="2">
        <f>IF(3&lt;=DAY(EOMONTH(DATE($J$3,MATCH($J$4,$L$1:$L$12,0),1),0)),DATE($J$3,MATCH($J$4,$L$1:$L$12,0),3),"")</f>
        <v>46025</v>
      </c>
      <c r="C5" s="3" t="str">
        <f t="shared" si="0"/>
        <v>Saturday</v>
      </c>
      <c r="D5" s="3" t="s">
        <v>10</v>
      </c>
      <c r="E5" s="4">
        <v>0</v>
      </c>
      <c r="F5" s="4">
        <v>0</v>
      </c>
      <c r="G5" s="5">
        <f t="shared" si="1"/>
        <v>0</v>
      </c>
      <c r="I5" s="15" t="s">
        <v>13</v>
      </c>
      <c r="J5" s="17" t="s">
        <v>10</v>
      </c>
      <c r="L5" t="s">
        <v>16</v>
      </c>
    </row>
    <row r="6" spans="2:12" ht="24.75" customHeight="1" thickBot="1" x14ac:dyDescent="0.3">
      <c r="B6" s="2">
        <f>IF(4&lt;=DAY(EOMONTH(DATE($J$3,MATCH($J$4,$L$1:$L$12,0),1),0)),DATE($J$3,MATCH($J$4,$L$1:$L$12,0),4),"")</f>
        <v>46026</v>
      </c>
      <c r="C6" s="3" t="str">
        <f t="shared" si="0"/>
        <v>Sunday</v>
      </c>
      <c r="D6" s="3" t="s">
        <v>10</v>
      </c>
      <c r="E6" s="4">
        <v>0</v>
      </c>
      <c r="F6" s="4">
        <v>0</v>
      </c>
      <c r="G6" s="5">
        <f t="shared" si="1"/>
        <v>0</v>
      </c>
      <c r="I6" s="16" t="s">
        <v>11</v>
      </c>
      <c r="J6" s="18" t="s">
        <v>10</v>
      </c>
      <c r="L6" t="s">
        <v>18</v>
      </c>
    </row>
    <row r="7" spans="2:12" ht="24.75" customHeight="1" thickBot="1" x14ac:dyDescent="0.3">
      <c r="B7" s="2">
        <f>IF(5&lt;=DAY(EOMONTH(DATE($J$3,MATCH($J$4,$L$1:$L$12,0),1),0)),DATE($J$3,MATCH($J$4,$L$1:$L$12,0),5),"")</f>
        <v>46027</v>
      </c>
      <c r="C7" s="3" t="str">
        <f t="shared" si="0"/>
        <v>Monday</v>
      </c>
      <c r="D7" s="3" t="s">
        <v>10</v>
      </c>
      <c r="E7" s="4">
        <v>0</v>
      </c>
      <c r="F7" s="4">
        <v>0</v>
      </c>
      <c r="G7" s="5">
        <f t="shared" si="1"/>
        <v>0</v>
      </c>
      <c r="I7" s="19" t="s">
        <v>15</v>
      </c>
      <c r="J7" s="20">
        <v>0</v>
      </c>
      <c r="L7" t="s">
        <v>19</v>
      </c>
    </row>
    <row r="8" spans="2:12" ht="24.75" customHeight="1" thickBot="1" x14ac:dyDescent="0.3">
      <c r="B8" s="2">
        <f>IF(6&lt;=DAY(EOMONTH(DATE($J$3,MATCH($J$4,$L$1:$L$12,0),1),0)),DATE($J$3,MATCH($J$4,$L$1:$L$12,0),6),"")</f>
        <v>46028</v>
      </c>
      <c r="C8" s="3" t="str">
        <f t="shared" si="0"/>
        <v>Tuesday</v>
      </c>
      <c r="D8" s="3" t="s">
        <v>10</v>
      </c>
      <c r="E8" s="4">
        <v>0</v>
      </c>
      <c r="F8" s="4">
        <v>0</v>
      </c>
      <c r="G8" s="5">
        <f t="shared" si="1"/>
        <v>0</v>
      </c>
      <c r="I8" s="19" t="s">
        <v>17</v>
      </c>
      <c r="J8" s="21">
        <f>SUM(G3:G33)*J7</f>
        <v>0</v>
      </c>
      <c r="L8" t="s">
        <v>20</v>
      </c>
    </row>
    <row r="9" spans="2:12" ht="24.75" customHeight="1" x14ac:dyDescent="0.25">
      <c r="B9" s="2">
        <f>IF(7&lt;=DAY(EOMONTH(DATE($J$3,MATCH($J$4,$L$1:$L$12,0),1),0)),DATE($J$3,MATCH($J$4,$L$1:$L$12,0),7),"")</f>
        <v>46029</v>
      </c>
      <c r="C9" s="3" t="str">
        <f t="shared" si="0"/>
        <v>Wednesday</v>
      </c>
      <c r="D9" s="3" t="s">
        <v>10</v>
      </c>
      <c r="E9" s="4">
        <v>0</v>
      </c>
      <c r="F9" s="4">
        <v>0</v>
      </c>
      <c r="G9" s="5">
        <f t="shared" si="1"/>
        <v>0</v>
      </c>
      <c r="L9" t="s">
        <v>21</v>
      </c>
    </row>
    <row r="10" spans="2:12" ht="24.75" customHeight="1" x14ac:dyDescent="0.25">
      <c r="B10" s="2">
        <f>IF(8&lt;=DAY(EOMONTH(DATE($J$3,MATCH($J$4,$L$1:$L$12,0),1),0)),DATE($J$3,MATCH($J$4,$L$1:$L$12,0),8),"")</f>
        <v>46030</v>
      </c>
      <c r="C10" s="3" t="str">
        <f t="shared" si="0"/>
        <v>Thursday</v>
      </c>
      <c r="D10" s="3" t="s">
        <v>10</v>
      </c>
      <c r="E10" s="4">
        <v>0</v>
      </c>
      <c r="F10" s="4">
        <v>0</v>
      </c>
      <c r="G10" s="5">
        <f t="shared" si="1"/>
        <v>0</v>
      </c>
      <c r="L10" t="s">
        <v>22</v>
      </c>
    </row>
    <row r="11" spans="2:12" ht="24.75" customHeight="1" x14ac:dyDescent="0.25">
      <c r="B11" s="2">
        <f>IF(9&lt;=DAY(EOMONTH(DATE($J$3,MATCH($J$4,$L$1:$L$12,0),1),0)),DATE($J$3,MATCH($J$4,$L$1:$L$12,0),9),"")</f>
        <v>46031</v>
      </c>
      <c r="C11" s="3" t="str">
        <f t="shared" si="0"/>
        <v>Friday</v>
      </c>
      <c r="D11" s="3" t="s">
        <v>10</v>
      </c>
      <c r="E11" s="4">
        <v>0</v>
      </c>
      <c r="F11" s="4">
        <v>0</v>
      </c>
      <c r="G11" s="5">
        <f t="shared" si="1"/>
        <v>0</v>
      </c>
      <c r="L11" t="s">
        <v>23</v>
      </c>
    </row>
    <row r="12" spans="2:12" ht="24.75" customHeight="1" x14ac:dyDescent="0.25">
      <c r="B12" s="2">
        <f>IF(10&lt;=DAY(EOMONTH(DATE($J$3,MATCH($J$4,$L$1:$L$12,0),1),0)),DATE($J$3,MATCH($J$4,$L$1:$L$12,0),10),"")</f>
        <v>46032</v>
      </c>
      <c r="C12" s="3" t="str">
        <f t="shared" si="0"/>
        <v>Saturday</v>
      </c>
      <c r="D12" s="3" t="s">
        <v>10</v>
      </c>
      <c r="E12" s="4">
        <v>0</v>
      </c>
      <c r="F12" s="4">
        <v>0</v>
      </c>
      <c r="G12" s="5">
        <f t="shared" si="1"/>
        <v>0</v>
      </c>
      <c r="L12" t="s">
        <v>24</v>
      </c>
    </row>
    <row r="13" spans="2:12" ht="24.75" customHeight="1" x14ac:dyDescent="0.25">
      <c r="B13" s="2">
        <f>IF(11&lt;=DAY(EOMONTH(DATE($J$3,MATCH($J$4,$L$1:$L$12,0),1),0)),DATE($J$3,MATCH($J$4,$L$1:$L$12,0),11),"")</f>
        <v>46033</v>
      </c>
      <c r="C13" s="3" t="str">
        <f t="shared" si="0"/>
        <v>Sunday</v>
      </c>
      <c r="D13" s="3" t="s">
        <v>10</v>
      </c>
      <c r="E13" s="4">
        <v>0</v>
      </c>
      <c r="F13" s="4">
        <v>0</v>
      </c>
      <c r="G13" s="5">
        <f t="shared" si="1"/>
        <v>0</v>
      </c>
    </row>
    <row r="14" spans="2:12" ht="24.75" customHeight="1" x14ac:dyDescent="0.25">
      <c r="B14" s="2">
        <f>IF(12&lt;=DAY(EOMONTH(DATE($J$3,MATCH($J$4,$L$1:$L$12,0),1),0)),DATE($J$3,MATCH($J$4,$L$1:$L$12,0),12),"")</f>
        <v>46034</v>
      </c>
      <c r="C14" s="3" t="str">
        <f t="shared" si="0"/>
        <v>Monday</v>
      </c>
      <c r="D14" s="3" t="s">
        <v>10</v>
      </c>
      <c r="E14" s="4">
        <v>0</v>
      </c>
      <c r="F14" s="4">
        <v>0</v>
      </c>
      <c r="G14" s="5">
        <f t="shared" si="1"/>
        <v>0</v>
      </c>
    </row>
    <row r="15" spans="2:12" ht="24.75" customHeight="1" x14ac:dyDescent="0.25">
      <c r="B15" s="2">
        <f>IF(13&lt;=DAY(EOMONTH(DATE($J$3,MATCH($J$4,$L$1:$L$12,0),1),0)),DATE($J$3,MATCH($J$4,$L$1:$L$12,0),13),"")</f>
        <v>46035</v>
      </c>
      <c r="C15" s="3" t="str">
        <f t="shared" si="0"/>
        <v>Tuesday</v>
      </c>
      <c r="D15" s="3" t="s">
        <v>10</v>
      </c>
      <c r="E15" s="4">
        <v>0</v>
      </c>
      <c r="F15" s="4">
        <v>0</v>
      </c>
      <c r="G15" s="5">
        <f t="shared" si="1"/>
        <v>0</v>
      </c>
    </row>
    <row r="16" spans="2:12" ht="24.75" customHeight="1" x14ac:dyDescent="0.25">
      <c r="B16" s="2">
        <f>IF(14&lt;=DAY(EOMONTH(DATE($J$3,MATCH($J$4,$L$1:$L$12,0),1),0)),DATE($J$3,MATCH($J$4,$L$1:$L$12,0),14),"")</f>
        <v>46036</v>
      </c>
      <c r="C16" s="3" t="str">
        <f t="shared" si="0"/>
        <v>Wednesday</v>
      </c>
      <c r="D16" s="3" t="s">
        <v>10</v>
      </c>
      <c r="E16" s="4">
        <v>0</v>
      </c>
      <c r="F16" s="4">
        <v>0</v>
      </c>
      <c r="G16" s="5">
        <f t="shared" si="1"/>
        <v>0</v>
      </c>
    </row>
    <row r="17" spans="2:7" ht="24.75" customHeight="1" x14ac:dyDescent="0.25">
      <c r="B17" s="2">
        <f>IF(15&lt;=DAY(EOMONTH(DATE($J$3,MATCH($J$4,$L$1:$L$12,0),1),0)),DATE($J$3,MATCH($J$4,$L$1:$L$12,0),15),"")</f>
        <v>46037</v>
      </c>
      <c r="C17" s="3" t="str">
        <f t="shared" si="0"/>
        <v>Thursday</v>
      </c>
      <c r="D17" s="3" t="s">
        <v>10</v>
      </c>
      <c r="E17" s="4">
        <v>0</v>
      </c>
      <c r="F17" s="4">
        <v>0</v>
      </c>
      <c r="G17" s="5">
        <f t="shared" si="1"/>
        <v>0</v>
      </c>
    </row>
    <row r="18" spans="2:7" ht="24.75" customHeight="1" x14ac:dyDescent="0.25">
      <c r="B18" s="2">
        <f>IF(16&lt;=DAY(EOMONTH(DATE($J$3,MATCH($J$4,$L$1:$L$12,0),1),0)),DATE($J$3,MATCH($J$4,$L$1:$L$12,0),16),"")</f>
        <v>46038</v>
      </c>
      <c r="C18" s="3" t="str">
        <f t="shared" si="0"/>
        <v>Friday</v>
      </c>
      <c r="D18" s="3" t="s">
        <v>10</v>
      </c>
      <c r="E18" s="4">
        <v>0</v>
      </c>
      <c r="F18" s="4">
        <v>0</v>
      </c>
      <c r="G18" s="5">
        <f t="shared" si="1"/>
        <v>0</v>
      </c>
    </row>
    <row r="19" spans="2:7" ht="24.75" customHeight="1" x14ac:dyDescent="0.25">
      <c r="B19" s="2">
        <f>IF(17&lt;=DAY(EOMONTH(DATE($J$3,MATCH($J$4,$L$1:$L$12,0),1),0)),DATE($J$3,MATCH($J$4,$L$1:$L$12,0),17),"")</f>
        <v>46039</v>
      </c>
      <c r="C19" s="3" t="str">
        <f t="shared" si="0"/>
        <v>Saturday</v>
      </c>
      <c r="D19" s="3" t="s">
        <v>10</v>
      </c>
      <c r="E19" s="4">
        <v>0</v>
      </c>
      <c r="F19" s="4">
        <v>0</v>
      </c>
      <c r="G19" s="5">
        <f t="shared" si="1"/>
        <v>0</v>
      </c>
    </row>
    <row r="20" spans="2:7" ht="24.75" customHeight="1" x14ac:dyDescent="0.25">
      <c r="B20" s="2">
        <f>IF(18&lt;=DAY(EOMONTH(DATE($J$3,MATCH($J$4,$L$1:$L$12,0),1),0)),DATE($J$3,MATCH($J$4,$L$1:$L$12,0),18),"")</f>
        <v>46040</v>
      </c>
      <c r="C20" s="3" t="str">
        <f t="shared" si="0"/>
        <v>Sunday</v>
      </c>
      <c r="D20" s="3" t="s">
        <v>10</v>
      </c>
      <c r="E20" s="4">
        <v>0</v>
      </c>
      <c r="F20" s="4">
        <v>0</v>
      </c>
      <c r="G20" s="5">
        <f t="shared" si="1"/>
        <v>0</v>
      </c>
    </row>
    <row r="21" spans="2:7" ht="24.75" customHeight="1" x14ac:dyDescent="0.25">
      <c r="B21" s="2">
        <f>IF(19&lt;=DAY(EOMONTH(DATE($J$3,MATCH($J$4,$L$1:$L$12,0),1),0)),DATE($J$3,MATCH($J$4,$L$1:$L$12,0),19),"")</f>
        <v>46041</v>
      </c>
      <c r="C21" s="3" t="str">
        <f t="shared" si="0"/>
        <v>Monday</v>
      </c>
      <c r="D21" s="3" t="s">
        <v>10</v>
      </c>
      <c r="E21" s="4">
        <v>0</v>
      </c>
      <c r="F21" s="4">
        <v>0</v>
      </c>
      <c r="G21" s="5">
        <f t="shared" si="1"/>
        <v>0</v>
      </c>
    </row>
    <row r="22" spans="2:7" ht="24.75" customHeight="1" x14ac:dyDescent="0.25">
      <c r="B22" s="2">
        <f>IF(20&lt;=DAY(EOMONTH(DATE($J$3,MATCH($J$4,$L$1:$L$12,0),1),0)),DATE($J$3,MATCH($J$4,$L$1:$L$12,0),20),"")</f>
        <v>46042</v>
      </c>
      <c r="C22" s="3" t="str">
        <f t="shared" si="0"/>
        <v>Tuesday</v>
      </c>
      <c r="D22" s="3" t="s">
        <v>10</v>
      </c>
      <c r="E22" s="4">
        <v>0</v>
      </c>
      <c r="F22" s="4">
        <v>0</v>
      </c>
      <c r="G22" s="5">
        <f t="shared" si="1"/>
        <v>0</v>
      </c>
    </row>
    <row r="23" spans="2:7" ht="24.75" customHeight="1" x14ac:dyDescent="0.25">
      <c r="B23" s="2">
        <f>IF(21&lt;=DAY(EOMONTH(DATE($J$3,MATCH($J$4,$L$1:$L$12,0),1),0)),DATE($J$3,MATCH($J$4,$L$1:$L$12,0),21),"")</f>
        <v>46043</v>
      </c>
      <c r="C23" s="3" t="str">
        <f t="shared" si="0"/>
        <v>Wednesday</v>
      </c>
      <c r="D23" s="3" t="s">
        <v>10</v>
      </c>
      <c r="E23" s="4">
        <v>0</v>
      </c>
      <c r="F23" s="4">
        <v>0</v>
      </c>
      <c r="G23" s="5">
        <f t="shared" si="1"/>
        <v>0</v>
      </c>
    </row>
    <row r="24" spans="2:7" ht="24.75" customHeight="1" x14ac:dyDescent="0.25">
      <c r="B24" s="2">
        <f>IF(22&lt;=DAY(EOMONTH(DATE($J$3,MATCH($J$4,$L$1:$L$12,0),1),0)),DATE($J$3,MATCH($J$4,$L$1:$L$12,0),22),"")</f>
        <v>46044</v>
      </c>
      <c r="C24" s="3" t="str">
        <f t="shared" si="0"/>
        <v>Thursday</v>
      </c>
      <c r="D24" s="3" t="s">
        <v>10</v>
      </c>
      <c r="E24" s="4">
        <v>0</v>
      </c>
      <c r="F24" s="4">
        <v>0</v>
      </c>
      <c r="G24" s="5">
        <f t="shared" si="1"/>
        <v>0</v>
      </c>
    </row>
    <row r="25" spans="2:7" ht="24.75" customHeight="1" x14ac:dyDescent="0.25">
      <c r="B25" s="2">
        <f>IF(23&lt;=DAY(EOMONTH(DATE($J$3,MATCH($J$4,$L$1:$L$12,0),1),0)),DATE($J$3,MATCH($J$4,$L$1:$L$12,0),23),"")</f>
        <v>46045</v>
      </c>
      <c r="C25" s="3" t="str">
        <f t="shared" si="0"/>
        <v>Friday</v>
      </c>
      <c r="D25" s="3" t="s">
        <v>10</v>
      </c>
      <c r="E25" s="4">
        <v>0</v>
      </c>
      <c r="F25" s="4">
        <v>0</v>
      </c>
      <c r="G25" s="5">
        <f t="shared" si="1"/>
        <v>0</v>
      </c>
    </row>
    <row r="26" spans="2:7" ht="24.75" customHeight="1" x14ac:dyDescent="0.25">
      <c r="B26" s="2">
        <f>IF(24&lt;=DAY(EOMONTH(DATE($J$3,MATCH($J$4,$L$1:$L$12,0),1),0)),DATE($J$3,MATCH($J$4,$L$1:$L$12,0),24),"")</f>
        <v>46046</v>
      </c>
      <c r="C26" s="3" t="str">
        <f t="shared" si="0"/>
        <v>Saturday</v>
      </c>
      <c r="D26" s="3" t="s">
        <v>10</v>
      </c>
      <c r="E26" s="4">
        <v>0</v>
      </c>
      <c r="F26" s="4">
        <v>0</v>
      </c>
      <c r="G26" s="5">
        <f t="shared" si="1"/>
        <v>0</v>
      </c>
    </row>
    <row r="27" spans="2:7" ht="24.75" customHeight="1" x14ac:dyDescent="0.25">
      <c r="B27" s="2">
        <f>IF(25&lt;=DAY(EOMONTH(DATE($J$3,MATCH($J$4,$L$1:$L$12,0),1),0)),DATE($J$3,MATCH($J$4,$L$1:$L$12,0),25),"")</f>
        <v>46047</v>
      </c>
      <c r="C27" s="3" t="str">
        <f t="shared" si="0"/>
        <v>Sunday</v>
      </c>
      <c r="D27" s="3" t="s">
        <v>10</v>
      </c>
      <c r="E27" s="4">
        <v>0</v>
      </c>
      <c r="F27" s="4">
        <v>0</v>
      </c>
      <c r="G27" s="5">
        <f t="shared" si="1"/>
        <v>0</v>
      </c>
    </row>
    <row r="28" spans="2:7" ht="24.75" customHeight="1" x14ac:dyDescent="0.25">
      <c r="B28" s="2">
        <f>IF(26&lt;=DAY(EOMONTH(DATE($J$3,MATCH($J$4,$L$1:$L$12,0),1),0)),DATE($J$3,MATCH($J$4,$L$1:$L$12,0),26),"")</f>
        <v>46048</v>
      </c>
      <c r="C28" s="3" t="str">
        <f t="shared" si="0"/>
        <v>Monday</v>
      </c>
      <c r="D28" s="3" t="s">
        <v>10</v>
      </c>
      <c r="E28" s="4">
        <v>0</v>
      </c>
      <c r="F28" s="4">
        <v>0</v>
      </c>
      <c r="G28" s="5">
        <f t="shared" si="1"/>
        <v>0</v>
      </c>
    </row>
    <row r="29" spans="2:7" ht="24.75" customHeight="1" x14ac:dyDescent="0.25">
      <c r="B29" s="2">
        <f>IF(27&lt;=DAY(EOMONTH(DATE($J$3,MATCH($J$4,$L$1:$L$12,0),1),0)),DATE($J$3,MATCH($J$4,$L$1:$L$12,0),27),"")</f>
        <v>46049</v>
      </c>
      <c r="C29" s="3" t="str">
        <f t="shared" si="0"/>
        <v>Tuesday</v>
      </c>
      <c r="D29" s="3" t="s">
        <v>10</v>
      </c>
      <c r="E29" s="4">
        <v>0</v>
      </c>
      <c r="F29" s="4">
        <v>0</v>
      </c>
      <c r="G29" s="5">
        <f t="shared" si="1"/>
        <v>0</v>
      </c>
    </row>
    <row r="30" spans="2:7" ht="24.75" customHeight="1" x14ac:dyDescent="0.25">
      <c r="B30" s="2">
        <f>IF(28&lt;=DAY(EOMONTH(DATE($J$3,MATCH($J$4,$L$1:$L$12,0),1),0)),DATE($J$3,MATCH($J$4,$L$1:$L$12,0),28),"")</f>
        <v>46050</v>
      </c>
      <c r="C30" s="3" t="str">
        <f t="shared" si="0"/>
        <v>Wednesday</v>
      </c>
      <c r="D30" s="3" t="s">
        <v>10</v>
      </c>
      <c r="E30" s="4">
        <v>0</v>
      </c>
      <c r="F30" s="4">
        <v>0</v>
      </c>
      <c r="G30" s="5">
        <f t="shared" si="1"/>
        <v>0</v>
      </c>
    </row>
    <row r="31" spans="2:7" ht="24.75" customHeight="1" x14ac:dyDescent="0.25">
      <c r="B31" s="2">
        <f>IF(29&lt;=DAY(EOMONTH(DATE($J$3,MATCH($J$4,$L$1:$L$12,0),1),0)),DATE($J$3,MATCH($J$4,$L$1:$L$12,0),29),"")</f>
        <v>46051</v>
      </c>
      <c r="C31" s="3" t="str">
        <f t="shared" si="0"/>
        <v>Thursday</v>
      </c>
      <c r="D31" s="3" t="s">
        <v>10</v>
      </c>
      <c r="E31" s="4">
        <v>0</v>
      </c>
      <c r="F31" s="4">
        <v>0</v>
      </c>
      <c r="G31" s="5">
        <f t="shared" si="1"/>
        <v>0</v>
      </c>
    </row>
    <row r="32" spans="2:7" ht="24.75" customHeight="1" x14ac:dyDescent="0.25">
      <c r="B32" s="2">
        <f>IF(30&lt;=DAY(EOMONTH(DATE($J$3,MATCH($J$4,$L$1:$L$12,0),1),0)),DATE($J$3,MATCH($J$4,$L$1:$L$12,0),30),"")</f>
        <v>46052</v>
      </c>
      <c r="C32" s="3" t="str">
        <f t="shared" si="0"/>
        <v>Friday</v>
      </c>
      <c r="D32" s="3" t="s">
        <v>10</v>
      </c>
      <c r="E32" s="4">
        <v>0</v>
      </c>
      <c r="F32" s="4">
        <v>0</v>
      </c>
      <c r="G32" s="5">
        <f t="shared" si="1"/>
        <v>0</v>
      </c>
    </row>
    <row r="33" spans="2:7" ht="24.75" customHeight="1" x14ac:dyDescent="0.25">
      <c r="B33" s="6">
        <f>IF(31&lt;=DAY(EOMONTH(DATE($J$3,MATCH($J$4,$L$1:$L$12,0),1),0)),DATE($J$3,MATCH($J$4,$L$1:$L$12,0),31),"")</f>
        <v>46053</v>
      </c>
      <c r="C33" s="7" t="str">
        <f t="shared" si="0"/>
        <v>Saturday</v>
      </c>
      <c r="D33" s="8" t="s">
        <v>10</v>
      </c>
      <c r="E33" s="9">
        <v>0</v>
      </c>
      <c r="F33" s="9">
        <v>0</v>
      </c>
      <c r="G33" s="10">
        <f t="shared" si="1"/>
        <v>0</v>
      </c>
    </row>
  </sheetData>
  <dataValidations count="1">
    <dataValidation type="list" sqref="J4" xr:uid="{00000000-0002-0000-0000-000000000000}">
      <formula1>$L$1:$L$12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dcterms:modified xsi:type="dcterms:W3CDTF">2026-04-19T21:07:11Z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Mohammad Ayoub</dc:creator>
  <dc:description/>
  <dc:language>en-US</dc:language>
  <cp:lastModifiedBy>Mohammad Ayoub</cp:lastModifiedBy>
  <dcterms:modified xsi:type="dcterms:W3CDTF">2026-04-19T14:41:15Z</dcterms:modified>
  <cp:revision>0</cp:revision>
  <dc:subject/>
  <dc:title/>
</cp:coreProperties>
</file>